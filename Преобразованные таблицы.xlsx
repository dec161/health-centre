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3"/>
  </bookViews>
  <sheets>
    <sheet name="Patient" sheetId="1" state="visible" r:id="rId3"/>
    <sheet name="Gender" sheetId="2" state="visible" r:id="rId4"/>
    <sheet name="Visit" sheetId="3" state="visible" r:id="rId5"/>
    <sheet name="Photo" sheetId="4" state="visible" r:id="rId6"/>
    <sheet name="DoctorType" sheetId="5" state="visible" r:id="rId7"/>
    <sheet name="Лист6" sheetId="6" state="visible" r:id="rId8"/>
    <sheet name="Role" sheetId="7" state="visible" r:id="rId9"/>
    <sheet name="User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<sst xmlns="http://schemas.openxmlformats.org/spreadsheetml/2006/main" count="101" uniqueCount="49">
  <si>
    <t xml:space="preserve">Id</t>
  </si>
  <si>
    <t xml:space="preserve">Name</t>
  </si>
  <si>
    <t xml:space="preserve">GenderId</t>
  </si>
  <si>
    <t xml:space="preserve">BirthDate</t>
  </si>
  <si>
    <t xml:space="preserve">InsuranceCertificate</t>
  </si>
  <si>
    <t xml:space="preserve">Fluorography</t>
  </si>
  <si>
    <t xml:space="preserve">HealthAssessment</t>
  </si>
  <si>
    <t xml:space="preserve">Height</t>
  </si>
  <si>
    <t xml:space="preserve">Weight</t>
  </si>
  <si>
    <t xml:space="preserve">DisabilityGroupI</t>
  </si>
  <si>
    <t xml:space="preserve">DisabilityGroupII</t>
  </si>
  <si>
    <t xml:space="preserve">DisabilityGroupIII</t>
  </si>
  <si>
    <t xml:space="preserve">PhotoId</t>
  </si>
  <si>
    <t xml:space="preserve">Петров Петр Петрович</t>
  </si>
  <si>
    <t xml:space="preserve">XV 998-45-68</t>
  </si>
  <si>
    <t xml:space="preserve">Сидоров Сидор Сидорович</t>
  </si>
  <si>
    <t xml:space="preserve"> II 998-45-69</t>
  </si>
  <si>
    <t xml:space="preserve">Веревкина Мария Евгеньевна</t>
  </si>
  <si>
    <t xml:space="preserve"> III  998-45-64</t>
  </si>
  <si>
    <t xml:space="preserve">Беляева Анастасия Павловна</t>
  </si>
  <si>
    <t xml:space="preserve">IV 998-45-67</t>
  </si>
  <si>
    <t xml:space="preserve">Розова Марина Алексеевна</t>
  </si>
  <si>
    <t xml:space="preserve">VII 998-45-61</t>
  </si>
  <si>
    <t xml:space="preserve">Деев Андрей Валентинович</t>
  </si>
  <si>
    <t xml:space="preserve">XXV 998-45-62</t>
  </si>
  <si>
    <t xml:space="preserve">Портной Михаил Михайлович</t>
  </si>
  <si>
    <t xml:space="preserve">VIII 998-45-63</t>
  </si>
  <si>
    <t xml:space="preserve">Муж</t>
  </si>
  <si>
    <t xml:space="preserve">Жен</t>
  </si>
  <si>
    <t xml:space="preserve">Date</t>
  </si>
  <si>
    <t xml:space="preserve">PatientId</t>
  </si>
  <si>
    <t xml:space="preserve">DoctorTypeId</t>
  </si>
  <si>
    <t xml:space="preserve">RelativePath</t>
  </si>
  <si>
    <t xml:space="preserve">1.jpg</t>
  </si>
  <si>
    <t xml:space="preserve">2.jpg</t>
  </si>
  <si>
    <t xml:space="preserve">3.png</t>
  </si>
  <si>
    <t xml:space="preserve">Лор</t>
  </si>
  <si>
    <t xml:space="preserve">Терапевт</t>
  </si>
  <si>
    <t xml:space="preserve">Хирург</t>
  </si>
  <si>
    <t xml:space="preserve">Невропатолог</t>
  </si>
  <si>
    <t xml:space="preserve">Администратор</t>
  </si>
  <si>
    <t xml:space="preserve">Врач</t>
  </si>
  <si>
    <t xml:space="preserve">Пациент</t>
  </si>
  <si>
    <t xml:space="preserve">Login</t>
  </si>
  <si>
    <t xml:space="preserve">Password</t>
  </si>
  <si>
    <t xml:space="preserve">RoleId</t>
  </si>
  <si>
    <t xml:space="preserve">admin</t>
  </si>
  <si>
    <t xml:space="preserve">doctor</t>
  </si>
  <si>
    <t xml:space="preserve">patient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</si>
</sst>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"/>
    <numFmt numFmtId="166" formatCode="@"/>
    <numFmt numFmtId="167" formatCode="dd/mm/yyyy"/>
    <numFmt numFmtId="168" formatCode="dd/mm/yy"/>
  </numFmts>
  <fonts count="7">
    <font>
      <sz val="10"/>
      <color theme="1"/>
      <name val="Arial"/>
      <family val="0"/>
      <charset val="1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2"/>
      <color rgb="FF212529"/>
      <name val="Arial"/>
      <family val="0"/>
      <charset val="1"/>
    </font>
    <font>
      <sz val="10"/>
      <name val="Times New Roman"/>
      <family val="0"/>
      <charset val="1"/>
    </font>
    <font>
      <sz val="10"/>
      <color theme="1"/>
      <name val="Arial"/>
      <family val="0"/>
      <charset val="204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4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12529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Тема Office">
  <a:themeElements>
    <a:clrScheme name="Стандартная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itchFamily="0" charset="1"/>
        <a:ea typeface="Arial" pitchFamily="0" charset="1"/>
        <a:cs typeface="Arial" pitchFamily="0" charset="1"/>
      </a:majorFont>
      <a:minorFont>
        <a:latin typeface="Calibri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20" activeCellId="0" sqref="B20"/>
    </sheetView>
  </sheetViews>
  <sheetFormatPr defaultColWidth="10.5078125" defaultRowHeight="12.75" customHeight="true" zeroHeight="false" outlineLevelRow="0" outlineLevelCol="0"/>
  <cols>
    <col collapsed="false" customWidth="true" hidden="false" outlineLevel="0" max="2" min="2" style="1" width="28.66"/>
    <col collapsed="false" customWidth="true" hidden="false" outlineLevel="0" max="4" min="4" style="1" width="14.58"/>
    <col collapsed="false" customWidth="true" hidden="false" outlineLevel="0" max="5" min="5" style="1" width="21.58"/>
    <col collapsed="false" customWidth="true" hidden="false" outlineLevel="0" max="6" min="6" style="1" width="22.28"/>
    <col collapsed="false" customWidth="true" hidden="false" outlineLevel="0" max="11" min="11" style="1" width="17.15"/>
  </cols>
  <sheetData>
    <row r="1" customFormat="false" ht="12.7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2" t="s">
        <v>11</v>
      </c>
      <c r="M1" s="1" t="s">
        <v>12</v>
      </c>
      <c r="N1" s="2"/>
    </row>
    <row r="2" customFormat="false" ht="15" hidden="false" customHeight="false" outlineLevel="0" collapsed="false">
      <c r="A2" s="3" t="n">
        <v>1</v>
      </c>
      <c r="B2" s="4" t="s">
        <v>13</v>
      </c>
      <c r="C2" s="3" t="n">
        <f aca="false">Gender!A2</f>
        <v>1</v>
      </c>
      <c r="D2" s="5" t="n">
        <v>37559</v>
      </c>
      <c r="E2" s="6" t="s">
        <v>14</v>
      </c>
      <c r="F2" s="7" t="n">
        <v>45648</v>
      </c>
      <c r="G2" s="7" t="n">
        <v>45588</v>
      </c>
      <c r="H2" s="3" t="n">
        <v>192</v>
      </c>
      <c r="I2" s="3" t="n">
        <v>85</v>
      </c>
      <c r="J2" s="7" t="n">
        <v>45638</v>
      </c>
      <c r="M2" s="3" t="n">
        <v>1</v>
      </c>
    </row>
    <row r="3" customFormat="false" ht="12.75" hidden="false" customHeight="false" outlineLevel="0" collapsed="false">
      <c r="A3" s="3" t="n">
        <v>2</v>
      </c>
      <c r="B3" s="4" t="s">
        <v>15</v>
      </c>
      <c r="C3" s="8" t="n">
        <f aca="false">Gender!A2</f>
        <v>1</v>
      </c>
      <c r="D3" s="7" t="n">
        <v>37808</v>
      </c>
      <c r="E3" s="6" t="s">
        <v>16</v>
      </c>
      <c r="F3" s="7" t="n">
        <v>45312</v>
      </c>
      <c r="G3" s="7" t="n">
        <v>45618</v>
      </c>
      <c r="H3" s="3" t="n">
        <v>178</v>
      </c>
      <c r="I3" s="3" t="n">
        <v>95</v>
      </c>
      <c r="M3" s="3"/>
    </row>
    <row r="4" customFormat="false" ht="12.75" hidden="false" customHeight="false" outlineLevel="0" collapsed="false">
      <c r="A4" s="3" t="n">
        <v>3</v>
      </c>
      <c r="B4" s="4" t="s">
        <v>17</v>
      </c>
      <c r="C4" s="8" t="n">
        <f aca="false">Gender!A3</f>
        <v>2</v>
      </c>
      <c r="D4" s="7" t="n">
        <v>35830</v>
      </c>
      <c r="E4" s="6" t="s">
        <v>18</v>
      </c>
      <c r="F4" s="7" t="n">
        <v>45335</v>
      </c>
      <c r="G4" s="7" t="n">
        <v>45529</v>
      </c>
      <c r="H4" s="3" t="n">
        <v>169</v>
      </c>
      <c r="I4" s="3" t="n">
        <v>65</v>
      </c>
      <c r="M4" s="9" t="n">
        <v>2</v>
      </c>
    </row>
    <row r="5" customFormat="false" ht="12.75" hidden="false" customHeight="false" outlineLevel="0" collapsed="false">
      <c r="A5" s="3" t="n">
        <v>4</v>
      </c>
      <c r="B5" s="4" t="s">
        <v>19</v>
      </c>
      <c r="C5" s="8" t="n">
        <f aca="false">Gender!A3</f>
        <v>2</v>
      </c>
      <c r="D5" s="7" t="n">
        <v>35256</v>
      </c>
      <c r="E5" s="6" t="s">
        <v>20</v>
      </c>
      <c r="F5" s="10" t="n">
        <v>45417</v>
      </c>
      <c r="G5" s="7" t="n">
        <v>45538</v>
      </c>
      <c r="H5" s="3" t="n">
        <v>165</v>
      </c>
      <c r="I5" s="3" t="n">
        <v>90</v>
      </c>
      <c r="M5" s="3"/>
    </row>
    <row r="6" customFormat="false" ht="12.75" hidden="false" customHeight="false" outlineLevel="0" collapsed="false">
      <c r="A6" s="3" t="n">
        <v>5</v>
      </c>
      <c r="B6" s="4" t="s">
        <v>21</v>
      </c>
      <c r="C6" s="8" t="n">
        <f aca="false">Gender!A3</f>
        <v>2</v>
      </c>
      <c r="D6" s="7" t="n">
        <v>40597</v>
      </c>
      <c r="E6" s="6" t="s">
        <v>22</v>
      </c>
      <c r="F6" s="7" t="n">
        <v>44964</v>
      </c>
      <c r="G6" s="7" t="n">
        <v>44837</v>
      </c>
      <c r="H6" s="3" t="n">
        <v>155</v>
      </c>
      <c r="I6" s="3" t="n">
        <v>40</v>
      </c>
      <c r="K6" s="7" t="n">
        <v>45417</v>
      </c>
      <c r="M6" s="3"/>
    </row>
    <row r="7" customFormat="false" ht="12.75" hidden="false" customHeight="false" outlineLevel="0" collapsed="false">
      <c r="A7" s="3" t="n">
        <v>6</v>
      </c>
      <c r="B7" s="4" t="s">
        <v>23</v>
      </c>
      <c r="C7" s="8" t="n">
        <f aca="false">Gender!A2</f>
        <v>1</v>
      </c>
      <c r="D7" s="7" t="n">
        <v>18432</v>
      </c>
      <c r="E7" s="6" t="s">
        <v>24</v>
      </c>
      <c r="F7" s="10" t="n">
        <v>45326</v>
      </c>
      <c r="G7" s="7"/>
      <c r="H7" s="3" t="n">
        <v>171</v>
      </c>
      <c r="I7" s="3" t="n">
        <v>75</v>
      </c>
      <c r="M7" s="3"/>
    </row>
    <row r="8" customFormat="false" ht="12.75" hidden="false" customHeight="false" outlineLevel="0" collapsed="false">
      <c r="A8" s="3" t="n">
        <v>7</v>
      </c>
      <c r="B8" s="4" t="s">
        <v>25</v>
      </c>
      <c r="C8" s="8" t="n">
        <f aca="false">Gender!A2</f>
        <v>1</v>
      </c>
      <c r="D8" s="7" t="n">
        <v>37169</v>
      </c>
      <c r="E8" s="6" t="s">
        <v>26</v>
      </c>
      <c r="F8" s="7" t="n">
        <v>45294</v>
      </c>
      <c r="G8" s="7" t="n">
        <v>45167</v>
      </c>
      <c r="H8" s="3" t="n">
        <v>182</v>
      </c>
      <c r="I8" s="3" t="n">
        <v>105</v>
      </c>
      <c r="L8" s="7" t="n">
        <v>45397</v>
      </c>
      <c r="M8" s="3" t="n">
        <v>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11.53515625" defaultRowHeight="12.8" customHeight="true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</row>
    <row r="2" customFormat="false" ht="12.8" hidden="false" customHeight="false" outlineLevel="0" collapsed="false">
      <c r="A2" s="3" t="n">
        <v>1</v>
      </c>
      <c r="B2" s="1" t="s">
        <v>27</v>
      </c>
    </row>
    <row r="3" customFormat="false" ht="12.8" hidden="false" customHeight="false" outlineLevel="0" collapsed="false">
      <c r="A3" s="3" t="n">
        <v>2</v>
      </c>
      <c r="B3" s="1" t="s">
        <v>28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Roman,Обычный"&amp;12&amp;Kffffff&amp;A</oddHeader>
    <oddFooter>&amp;C&amp;"Times New Roman,Обычный"&amp;12&amp;KffffffСтраница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20" activeCellId="0" sqref="E20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3" min="3" style="1" width="27.82"/>
  </cols>
  <sheetData>
    <row r="1" customFormat="false" ht="12.8" hidden="false" customHeight="false" outlineLevel="0" collapsed="false">
      <c r="A1" s="1" t="s">
        <v>0</v>
      </c>
      <c r="B1" s="2" t="s">
        <v>29</v>
      </c>
      <c r="C1" s="2" t="s">
        <v>30</v>
      </c>
      <c r="D1" s="2" t="s">
        <v>31</v>
      </c>
    </row>
    <row r="2" customFormat="false" ht="12.8" hidden="false" customHeight="false" outlineLevel="0" collapsed="false">
      <c r="A2" s="3" t="n">
        <v>1</v>
      </c>
      <c r="B2" s="10" t="n">
        <v>45311</v>
      </c>
      <c r="C2" s="3" t="n">
        <f aca="false">VLOOKUP(Лист6!A2,_xlfn.CHOOSECOLS(Patient!$A$2:$B$8,2,1),2,FALSE())</f>
        <v>1</v>
      </c>
      <c r="D2" s="9" t="n">
        <f aca="false">VLOOKUP(Лист6!B2,_xlfn.CHOOSECOLS(DoctorType!$A$2:$B$5,2,1),2,FALSE())</f>
        <v>1</v>
      </c>
    </row>
    <row r="3" customFormat="false" ht="12.8" hidden="false" customHeight="false" outlineLevel="0" collapsed="false">
      <c r="A3" s="3" t="n">
        <v>2</v>
      </c>
      <c r="B3" s="10" t="n">
        <v>45312</v>
      </c>
      <c r="C3" s="3" t="n">
        <f aca="false">VLOOKUP(Лист6!A3,_xlfn.CHOOSECOLS(Patient!$A$2:$B$8,2,1),2,FALSE())</f>
        <v>2</v>
      </c>
      <c r="D3" s="9" t="n">
        <f aca="false">VLOOKUP(Лист6!B3,_xlfn.CHOOSECOLS(DoctorType!$A$2:$B$5,2,1),2,FALSE())</f>
        <v>2</v>
      </c>
    </row>
    <row r="4" customFormat="false" ht="12.8" hidden="false" customHeight="false" outlineLevel="0" collapsed="false">
      <c r="A4" s="3" t="n">
        <v>3</v>
      </c>
      <c r="B4" s="10" t="n">
        <v>45313</v>
      </c>
      <c r="C4" s="3" t="n">
        <f aca="false">VLOOKUP(Лист6!A4,_xlfn.CHOOSECOLS(Patient!$A$2:$B$8,2,1),2,FALSE())</f>
        <v>3</v>
      </c>
      <c r="D4" s="9" t="n">
        <f aca="false">VLOOKUP(Лист6!B4,_xlfn.CHOOSECOLS(DoctorType!$A$2:$B$5,2,1),2,FALSE())</f>
        <v>3</v>
      </c>
    </row>
    <row r="5" customFormat="false" ht="12.8" hidden="false" customHeight="false" outlineLevel="0" collapsed="false">
      <c r="A5" s="3" t="n">
        <v>4</v>
      </c>
      <c r="B5" s="10" t="n">
        <v>45314</v>
      </c>
      <c r="C5" s="3" t="n">
        <f aca="false">VLOOKUP(Лист6!A5,_xlfn.CHOOSECOLS(Patient!$A$2:$B$8,2,1),2,FALSE())</f>
        <v>4</v>
      </c>
      <c r="D5" s="9" t="n">
        <f aca="false">VLOOKUP(Лист6!B5,_xlfn.CHOOSECOLS(DoctorType!$A$2:$B$5,2,1),2,FALSE())</f>
        <v>2</v>
      </c>
    </row>
    <row r="6" customFormat="false" ht="12.8" hidden="false" customHeight="false" outlineLevel="0" collapsed="false">
      <c r="A6" s="3" t="n">
        <v>5</v>
      </c>
      <c r="B6" s="10" t="n">
        <v>45315</v>
      </c>
      <c r="C6" s="3" t="n">
        <f aca="false">VLOOKUP(Лист6!A6,_xlfn.CHOOSECOLS(Patient!$A$2:$B$8,2,1),2,FALSE())</f>
        <v>5</v>
      </c>
      <c r="D6" s="9" t="n">
        <f aca="false">VLOOKUP(Лист6!B6,_xlfn.CHOOSECOLS(DoctorType!$A$2:$B$5,2,1),2,FALSE())</f>
        <v>4</v>
      </c>
    </row>
    <row r="7" customFormat="false" ht="12.8" hidden="false" customHeight="false" outlineLevel="0" collapsed="false">
      <c r="A7" s="3" t="n">
        <v>6</v>
      </c>
      <c r="B7" s="10" t="n">
        <v>45316</v>
      </c>
      <c r="C7" s="3" t="n">
        <f aca="false">VLOOKUP(Лист6!A7,_xlfn.CHOOSECOLS(Patient!$A$2:$B$8,2,1),2,FALSE())</f>
        <v>6</v>
      </c>
      <c r="D7" s="9" t="n">
        <f aca="false">VLOOKUP(Лист6!B7,_xlfn.CHOOSECOLS(DoctorType!$A$2:$B$5,2,1),2,FALSE())</f>
        <v>1</v>
      </c>
    </row>
    <row r="8" customFormat="false" ht="12.8" hidden="false" customHeight="false" outlineLevel="0" collapsed="false">
      <c r="A8" s="3" t="n">
        <v>7</v>
      </c>
      <c r="B8" s="10" t="n">
        <v>45317</v>
      </c>
      <c r="C8" s="3" t="n">
        <f aca="false">VLOOKUP(Лист6!A8,_xlfn.CHOOSECOLS(Patient!$A$2:$B$8,2,1),2,FALSE())</f>
        <v>7</v>
      </c>
      <c r="D8" s="9" t="n">
        <f aca="false">VLOOKUP(Лист6!B8,_xlfn.CHOOSECOLS(DoctorType!$A$2:$B$5,2,1),2,FALSE())</f>
        <v>2</v>
      </c>
    </row>
    <row r="9" customFormat="false" ht="12.8" hidden="false" customHeight="false" outlineLevel="0" collapsed="false">
      <c r="A9" s="3" t="n">
        <v>8</v>
      </c>
      <c r="B9" s="10" t="n">
        <v>45318</v>
      </c>
      <c r="C9" s="3" t="n">
        <f aca="false">VLOOKUP(Лист6!A9,_xlfn.CHOOSECOLS(Patient!$A$2:$B$8,2,1),2,FALSE())</f>
        <v>1</v>
      </c>
      <c r="D9" s="9" t="n">
        <f aca="false">VLOOKUP(Лист6!B9,_xlfn.CHOOSECOLS(DoctorType!$A$2:$B$5,2,1),2,FALSE())</f>
        <v>3</v>
      </c>
    </row>
    <row r="10" customFormat="false" ht="12.8" hidden="false" customHeight="false" outlineLevel="0" collapsed="false">
      <c r="A10" s="3" t="n">
        <v>9</v>
      </c>
      <c r="B10" s="10" t="n">
        <v>45319</v>
      </c>
      <c r="C10" s="3" t="n">
        <f aca="false">VLOOKUP(Лист6!A10,_xlfn.CHOOSECOLS(Patient!$A$2:$B$8,2,1),2,FALSE())</f>
        <v>2</v>
      </c>
      <c r="D10" s="9" t="n">
        <f aca="false">VLOOKUP(Лист6!B10,_xlfn.CHOOSECOLS(DoctorType!$A$2:$B$5,2,1),2,FALSE())</f>
        <v>4</v>
      </c>
    </row>
    <row r="11" customFormat="false" ht="12.8" hidden="false" customHeight="false" outlineLevel="0" collapsed="false">
      <c r="A11" s="3" t="n">
        <v>10</v>
      </c>
      <c r="B11" s="10" t="n">
        <v>45320</v>
      </c>
      <c r="C11" s="3" t="n">
        <f aca="false">VLOOKUP(Лист6!A11,_xlfn.CHOOSECOLS(Patient!$A$2:$B$8,2,1),2,FALSE())</f>
        <v>3</v>
      </c>
      <c r="D11" s="9" t="n">
        <f aca="false">VLOOKUP(Лист6!B11,_xlfn.CHOOSECOLS(DoctorType!$A$2:$B$5,2,1),2,FALSE())</f>
        <v>2</v>
      </c>
    </row>
    <row r="12" customFormat="false" ht="12.8" hidden="false" customHeight="false" outlineLevel="0" collapsed="false">
      <c r="A12" s="3" t="n">
        <v>11</v>
      </c>
      <c r="B12" s="10" t="n">
        <v>45321</v>
      </c>
      <c r="C12" s="3" t="n">
        <f aca="false">VLOOKUP(Лист6!A12,_xlfn.CHOOSECOLS(Patient!$A$2:$B$8,2,1),2,FALSE())</f>
        <v>4</v>
      </c>
      <c r="D12" s="9" t="n">
        <f aca="false">VLOOKUP(Лист6!B12,_xlfn.CHOOSECOLS(DoctorType!$A$2:$B$5,2,1),2,FALSE())</f>
        <v>1</v>
      </c>
    </row>
    <row r="13" customFormat="false" ht="12.8" hidden="false" customHeight="false" outlineLevel="0" collapsed="false">
      <c r="A13" s="3" t="n">
        <v>12</v>
      </c>
      <c r="B13" s="10" t="n">
        <v>45322</v>
      </c>
      <c r="C13" s="3" t="n">
        <f aca="false">VLOOKUP(Лист6!A13,_xlfn.CHOOSECOLS(Patient!$A$2:$B$8,2,1),2,FALSE())</f>
        <v>5</v>
      </c>
      <c r="D13" s="9" t="n">
        <f aca="false">VLOOKUP(Лист6!B13,_xlfn.CHOOSECOLS(DoctorType!$A$2:$B$5,2,1),2,FALSE())</f>
        <v>4</v>
      </c>
    </row>
    <row r="14" customFormat="false" ht="12.8" hidden="false" customHeight="false" outlineLevel="0" collapsed="false">
      <c r="A14" s="3" t="n">
        <v>13</v>
      </c>
      <c r="B14" s="10" t="n">
        <v>45323</v>
      </c>
      <c r="C14" s="3" t="n">
        <f aca="false">VLOOKUP(Лист6!A14,_xlfn.CHOOSECOLS(Patient!$A$2:$B$8,2,1),2,FALSE())</f>
        <v>6</v>
      </c>
      <c r="D14" s="9" t="n">
        <f aca="false">VLOOKUP(Лист6!B14,_xlfn.CHOOSECOLS(DoctorType!$A$2:$B$5,2,1),2,FALSE())</f>
        <v>2</v>
      </c>
    </row>
    <row r="15" customFormat="false" ht="12.8" hidden="false" customHeight="false" outlineLevel="0" collapsed="false">
      <c r="A15" s="3" t="n">
        <v>14</v>
      </c>
      <c r="B15" s="10" t="n">
        <v>45324</v>
      </c>
      <c r="C15" s="3" t="n">
        <f aca="false">VLOOKUP(Лист6!A15,_xlfn.CHOOSECOLS(Patient!$A$2:$B$8,2,1),2,FALSE())</f>
        <v>7</v>
      </c>
      <c r="D15" s="9" t="n">
        <f aca="false">VLOOKUP(Лист6!B15,_xlfn.CHOOSECOLS(DoctorType!$A$2:$B$5,2,1),2,FALSE())</f>
        <v>3</v>
      </c>
    </row>
    <row r="16" customFormat="false" ht="12.8" hidden="false" customHeight="false" outlineLevel="0" collapsed="false">
      <c r="A16" s="3" t="n">
        <v>15</v>
      </c>
      <c r="B16" s="10" t="n">
        <v>45325</v>
      </c>
      <c r="C16" s="3" t="n">
        <f aca="false">VLOOKUP(Лист6!A16,_xlfn.CHOOSECOLS(Patient!$A$2:$B$8,2,1),2,FALSE())</f>
        <v>1</v>
      </c>
      <c r="D16" s="9" t="n">
        <f aca="false">VLOOKUP(Лист6!B16,_xlfn.CHOOSECOLS(DoctorType!$A$2:$B$5,2,1),2,FALSE())</f>
        <v>2</v>
      </c>
    </row>
    <row r="17" customFormat="false" ht="12.8" hidden="false" customHeight="false" outlineLevel="0" collapsed="false">
      <c r="A17" s="3" t="n">
        <v>16</v>
      </c>
      <c r="B17" s="10" t="n">
        <v>45326</v>
      </c>
      <c r="C17" s="3" t="n">
        <f aca="false">VLOOKUP(Лист6!A17,_xlfn.CHOOSECOLS(Patient!$A$2:$B$8,2,1),2,FALSE())</f>
        <v>2</v>
      </c>
      <c r="D17" s="9" t="n">
        <f aca="false">VLOOKUP(Лист6!B17,_xlfn.CHOOSECOLS(DoctorType!$A$2:$B$5,2,1),2,FALSE())</f>
        <v>1</v>
      </c>
    </row>
    <row r="18" customFormat="false" ht="12.8" hidden="false" customHeight="false" outlineLevel="0" collapsed="false">
      <c r="A18" s="3" t="n">
        <v>17</v>
      </c>
      <c r="B18" s="10" t="n">
        <v>45327</v>
      </c>
      <c r="C18" s="3" t="n">
        <f aca="false">VLOOKUP(Лист6!A18,_xlfn.CHOOSECOLS(Patient!$A$2:$B$8,2,1),2,FALSE())</f>
        <v>3</v>
      </c>
      <c r="D18" s="9" t="n">
        <f aca="false">VLOOKUP(Лист6!B18,_xlfn.CHOOSECOLS(DoctorType!$A$2:$B$5,2,1),2,FALSE())</f>
        <v>2</v>
      </c>
    </row>
    <row r="19" customFormat="false" ht="12.8" hidden="false" customHeight="false" outlineLevel="0" collapsed="false">
      <c r="A19" s="3" t="n">
        <v>18</v>
      </c>
      <c r="B19" s="10" t="n">
        <v>45328</v>
      </c>
      <c r="C19" s="3" t="n">
        <f aca="false">VLOOKUP(Лист6!A19,_xlfn.CHOOSECOLS(Patient!$A$2:$B$8,2,1),2,FALSE())</f>
        <v>4</v>
      </c>
      <c r="D19" s="9" t="n">
        <f aca="false">VLOOKUP(Лист6!B19,_xlfn.CHOOSECOLS(DoctorType!$A$2:$B$5,2,1),2,FALSE())</f>
        <v>3</v>
      </c>
    </row>
    <row r="20" customFormat="false" ht="12.8" hidden="false" customHeight="false" outlineLevel="0" collapsed="false">
      <c r="A20" s="3" t="n">
        <v>19</v>
      </c>
      <c r="B20" s="10" t="n">
        <v>45329</v>
      </c>
      <c r="C20" s="3" t="n">
        <f aca="false">VLOOKUP(Лист6!A20,_xlfn.CHOOSECOLS(Patient!$A$2:$B$8,2,1),2,FALSE())</f>
        <v>5</v>
      </c>
      <c r="D20" s="9" t="n">
        <f aca="false">VLOOKUP(Лист6!B20,_xlfn.CHOOSECOLS(DoctorType!$A$2:$B$5,2,1),2,FALSE())</f>
        <v>2</v>
      </c>
    </row>
    <row r="21" customFormat="false" ht="12.8" hidden="false" customHeight="false" outlineLevel="0" collapsed="false">
      <c r="A21" s="3" t="n">
        <v>20</v>
      </c>
      <c r="B21" s="10" t="n">
        <v>45330</v>
      </c>
      <c r="C21" s="3" t="n">
        <f aca="false">VLOOKUP(Лист6!A21,_xlfn.CHOOSECOLS(Patient!$A$2:$B$8,2,1),2,FALSE())</f>
        <v>6</v>
      </c>
      <c r="D21" s="9" t="n">
        <f aca="false">VLOOKUP(Лист6!B21,_xlfn.CHOOSECOLS(DoctorType!$A$2:$B$5,2,1),2,FALSE())</f>
        <v>1</v>
      </c>
    </row>
    <row r="22" customFormat="false" ht="12.8" hidden="false" customHeight="false" outlineLevel="0" collapsed="false">
      <c r="A22" s="3" t="n">
        <v>21</v>
      </c>
      <c r="B22" s="10" t="n">
        <v>45331</v>
      </c>
      <c r="C22" s="3" t="n">
        <f aca="false">VLOOKUP(Лист6!A22,_xlfn.CHOOSECOLS(Patient!$A$2:$B$8,2,1),2,FALSE())</f>
        <v>7</v>
      </c>
      <c r="D22" s="9" t="n">
        <f aca="false">VLOOKUP(Лист6!B22,_xlfn.CHOOSECOLS(DoctorType!$A$2:$B$5,2,1),2,FALSE())</f>
        <v>3</v>
      </c>
    </row>
    <row r="23" customFormat="false" ht="12.8" hidden="false" customHeight="fals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Roman,Обычный"&amp;12&amp;Kffffff&amp;A</oddHeader>
    <oddFooter>&amp;C&amp;"Times New Roman,Обычный"&amp;12&amp;KffffffСтраница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5" activeCellId="0" sqref="B5"/>
    </sheetView>
  </sheetViews>
  <sheetFormatPr defaultColWidth="11.53515625" defaultRowHeight="12.8" customHeight="true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32</v>
      </c>
    </row>
    <row r="2" customFormat="false" ht="12.8" hidden="false" customHeight="false" outlineLevel="0" collapsed="false">
      <c r="A2" s="3" t="n">
        <v>1</v>
      </c>
      <c r="B2" s="1" t="s">
        <v>33</v>
      </c>
    </row>
    <row r="3" customFormat="false" ht="12.8" hidden="false" customHeight="false" outlineLevel="0" collapsed="false">
      <c r="A3" s="3" t="n">
        <v>2</v>
      </c>
      <c r="B3" s="1" t="s">
        <v>34</v>
      </c>
    </row>
    <row r="4" customFormat="false" ht="12.8" hidden="false" customHeight="false" outlineLevel="0" collapsed="false">
      <c r="A4" s="3" t="n">
        <v>3</v>
      </c>
      <c r="B4" s="1" t="s">
        <v>35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Roman,Обычный"&amp;12&amp;Kffffff&amp;A</oddHeader>
    <oddFooter>&amp;C&amp;"Times New Roman,Обычный"&amp;12&amp;KffffffСтраница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11.53515625" defaultRowHeight="12.8" customHeight="true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</row>
    <row r="2" customFormat="false" ht="12.8" hidden="false" customHeight="false" outlineLevel="0" collapsed="false">
      <c r="A2" s="3" t="n">
        <v>1</v>
      </c>
      <c r="B2" s="1" t="str">
        <f aca="false" t="array" ref="B2:B5">_xlfn.UNIQUE(Лист6!B2:B22)</f>
        <v>Лор</v>
      </c>
    </row>
    <row r="3" customFormat="false" ht="12.8" hidden="false" customHeight="false" outlineLevel="0" collapsed="false">
      <c r="A3" s="3" t="n">
        <v>2</v>
      </c>
      <c r="B3" s="1" t="str">
        <v>Терапевт</v>
      </c>
    </row>
    <row r="4" customFormat="false" ht="12.8" hidden="false" customHeight="false" outlineLevel="0" collapsed="false">
      <c r="A4" s="3" t="n">
        <v>3</v>
      </c>
      <c r="B4" s="1" t="str">
        <v>Хирург</v>
      </c>
    </row>
    <row r="5" customFormat="false" ht="12.8" hidden="false" customHeight="false" outlineLevel="0" collapsed="false">
      <c r="A5" s="3" t="n">
        <v>4</v>
      </c>
      <c r="B5" s="1" t="str">
        <v>Невропатолог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Roman,Обычный"&amp;12&amp;Kffffff&amp;A</oddHeader>
    <oddFooter>&amp;C&amp;"Times New Roman,Обычный"&amp;12&amp;KffffffСтраница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9" activeCellId="0" sqref="A9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34.08"/>
  </cols>
  <sheetData>
    <row r="1" customFormat="false" ht="12.8" hidden="false" customHeight="false" outlineLevel="0" collapsed="false">
      <c r="A1" s="1" t="s">
        <v>30</v>
      </c>
      <c r="B1" s="1" t="s">
        <v>31</v>
      </c>
    </row>
    <row r="2" customFormat="false" ht="12.8" hidden="false" customHeight="false" outlineLevel="0" collapsed="false">
      <c r="A2" s="4" t="s">
        <v>13</v>
      </c>
      <c r="B2" s="4" t="s">
        <v>36</v>
      </c>
    </row>
    <row r="3" customFormat="false" ht="12.8" hidden="false" customHeight="false" outlineLevel="0" collapsed="false">
      <c r="A3" s="4" t="s">
        <v>15</v>
      </c>
      <c r="B3" s="4" t="s">
        <v>37</v>
      </c>
    </row>
    <row r="4" customFormat="false" ht="12.8" hidden="false" customHeight="false" outlineLevel="0" collapsed="false">
      <c r="A4" s="4" t="s">
        <v>17</v>
      </c>
      <c r="B4" s="4" t="s">
        <v>38</v>
      </c>
    </row>
    <row r="5" customFormat="false" ht="12.8" hidden="false" customHeight="false" outlineLevel="0" collapsed="false">
      <c r="A5" s="4" t="s">
        <v>19</v>
      </c>
      <c r="B5" s="4" t="s">
        <v>37</v>
      </c>
    </row>
    <row r="6" customFormat="false" ht="12.8" hidden="false" customHeight="false" outlineLevel="0" collapsed="false">
      <c r="A6" s="4" t="s">
        <v>21</v>
      </c>
      <c r="B6" s="4" t="s">
        <v>39</v>
      </c>
    </row>
    <row r="7" customFormat="false" ht="12.8" hidden="false" customHeight="false" outlineLevel="0" collapsed="false">
      <c r="A7" s="4" t="s">
        <v>23</v>
      </c>
      <c r="B7" s="4" t="s">
        <v>36</v>
      </c>
    </row>
    <row r="8" customFormat="false" ht="12.8" hidden="false" customHeight="false" outlineLevel="0" collapsed="false">
      <c r="A8" s="4" t="s">
        <v>25</v>
      </c>
      <c r="B8" s="4" t="s">
        <v>37</v>
      </c>
    </row>
    <row r="9" customFormat="false" ht="12.8" hidden="false" customHeight="false" outlineLevel="0" collapsed="false">
      <c r="A9" s="4" t="s">
        <v>13</v>
      </c>
      <c r="B9" s="4" t="s">
        <v>38</v>
      </c>
    </row>
    <row r="10" customFormat="false" ht="12.8" hidden="false" customHeight="false" outlineLevel="0" collapsed="false">
      <c r="A10" s="4" t="s">
        <v>15</v>
      </c>
      <c r="B10" s="4" t="s">
        <v>39</v>
      </c>
    </row>
    <row r="11" customFormat="false" ht="12.8" hidden="false" customHeight="false" outlineLevel="0" collapsed="false">
      <c r="A11" s="4" t="s">
        <v>17</v>
      </c>
      <c r="B11" s="4" t="s">
        <v>37</v>
      </c>
    </row>
    <row r="12" customFormat="false" ht="12.8" hidden="false" customHeight="false" outlineLevel="0" collapsed="false">
      <c r="A12" s="4" t="s">
        <v>19</v>
      </c>
      <c r="B12" s="4" t="s">
        <v>36</v>
      </c>
    </row>
    <row r="13" customFormat="false" ht="12.8" hidden="false" customHeight="false" outlineLevel="0" collapsed="false">
      <c r="A13" s="4" t="s">
        <v>21</v>
      </c>
      <c r="B13" s="4" t="s">
        <v>39</v>
      </c>
    </row>
    <row r="14" customFormat="false" ht="12.8" hidden="false" customHeight="false" outlineLevel="0" collapsed="false">
      <c r="A14" s="4" t="s">
        <v>23</v>
      </c>
      <c r="B14" s="4" t="s">
        <v>37</v>
      </c>
    </row>
    <row r="15" customFormat="false" ht="12.8" hidden="false" customHeight="false" outlineLevel="0" collapsed="false">
      <c r="A15" s="4" t="s">
        <v>25</v>
      </c>
      <c r="B15" s="4" t="s">
        <v>38</v>
      </c>
    </row>
    <row r="16" customFormat="false" ht="12.8" hidden="false" customHeight="false" outlineLevel="0" collapsed="false">
      <c r="A16" s="4" t="s">
        <v>13</v>
      </c>
      <c r="B16" s="4" t="s">
        <v>37</v>
      </c>
    </row>
    <row r="17" customFormat="false" ht="12.8" hidden="false" customHeight="false" outlineLevel="0" collapsed="false">
      <c r="A17" s="4" t="s">
        <v>15</v>
      </c>
      <c r="B17" s="4" t="s">
        <v>36</v>
      </c>
    </row>
    <row r="18" customFormat="false" ht="12.8" hidden="false" customHeight="false" outlineLevel="0" collapsed="false">
      <c r="A18" s="4" t="s">
        <v>17</v>
      </c>
      <c r="B18" s="4" t="s">
        <v>37</v>
      </c>
    </row>
    <row r="19" customFormat="false" ht="12.8" hidden="false" customHeight="false" outlineLevel="0" collapsed="false">
      <c r="A19" s="4" t="s">
        <v>19</v>
      </c>
      <c r="B19" s="4" t="s">
        <v>38</v>
      </c>
    </row>
    <row r="20" customFormat="false" ht="12.8" hidden="false" customHeight="false" outlineLevel="0" collapsed="false">
      <c r="A20" s="4" t="s">
        <v>21</v>
      </c>
      <c r="B20" s="4" t="s">
        <v>37</v>
      </c>
    </row>
    <row r="21" customFormat="false" ht="12.8" hidden="false" customHeight="false" outlineLevel="0" collapsed="false">
      <c r="A21" s="4" t="s">
        <v>23</v>
      </c>
      <c r="B21" s="4" t="s">
        <v>36</v>
      </c>
    </row>
    <row r="22" customFormat="false" ht="12.8" hidden="false" customHeight="false" outlineLevel="0" collapsed="false">
      <c r="A22" s="4" t="s">
        <v>25</v>
      </c>
      <c r="B22" s="4" t="s">
        <v>38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Roman,Обычный"&amp;12&amp;Kffffff&amp;A</oddHeader>
    <oddFooter>&amp;C&amp;"Times New Roman,Обычный"&amp;12&amp;KffffffСтраница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11.53515625" defaultRowHeight="12.8" customHeight="true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</row>
    <row r="2" customFormat="false" ht="12.8" hidden="false" customHeight="false" outlineLevel="0" collapsed="false">
      <c r="A2" s="3" t="n">
        <v>1</v>
      </c>
      <c r="B2" s="1" t="s">
        <v>40</v>
      </c>
    </row>
    <row r="3" customFormat="false" ht="12.8" hidden="false" customHeight="false" outlineLevel="0" collapsed="false">
      <c r="A3" s="3" t="n">
        <v>2</v>
      </c>
      <c r="B3" s="1" t="s">
        <v>41</v>
      </c>
    </row>
    <row r="4" customFormat="false" ht="12.8" hidden="false" customHeight="false" outlineLevel="0" collapsed="false">
      <c r="A4" s="3" t="n">
        <v>3</v>
      </c>
      <c r="B4" s="1" t="s">
        <v>42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Roman,Обычный"&amp;12&amp;Kffffff&amp;A</oddHeader>
    <oddFooter>&amp;C&amp;"Times New Roman,Обычный"&amp;12&amp;KffffffСтраница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11" activeCellId="0" sqref="D11"/>
    </sheetView>
  </sheetViews>
  <sheetFormatPr defaultColWidth="11.53515625" defaultRowHeight="12.8" customHeight="true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43</v>
      </c>
      <c r="C1" s="1" t="s">
        <v>44</v>
      </c>
      <c r="D1" s="1" t="s">
        <v>45</v>
      </c>
    </row>
    <row r="2" customFormat="false" ht="12.8" hidden="false" customHeight="false" outlineLevel="0" collapsed="false">
      <c r="A2" s="3" t="n">
        <v>1</v>
      </c>
      <c r="B2" s="1" t="s">
        <v>46</v>
      </c>
      <c r="C2" s="1" t="s">
        <v>46</v>
      </c>
      <c r="D2" s="3" t="n">
        <v>1</v>
      </c>
    </row>
    <row r="3" customFormat="false" ht="12.8" hidden="false" customHeight="false" outlineLevel="0" collapsed="false">
      <c r="A3" s="3" t="n">
        <v>2</v>
      </c>
      <c r="B3" s="1" t="s">
        <v>47</v>
      </c>
      <c r="C3" s="1" t="s">
        <v>47</v>
      </c>
      <c r="D3" s="3" t="n">
        <v>2</v>
      </c>
    </row>
    <row r="4" customFormat="false" ht="12.8" hidden="false" customHeight="false" outlineLevel="0" collapsed="false">
      <c r="A4" s="3" t="n">
        <v>3</v>
      </c>
      <c r="B4" s="1" t="s">
        <v>48</v>
      </c>
      <c r="C4" s="1" t="s">
        <v>48</v>
      </c>
      <c r="D4" s="3" t="n">
        <v>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Roman,Обычный"&amp;12&amp;Kffffff&amp;A</oddHeader>
    <oddFooter>&amp;C&amp;"Times New Roman,Обычный"&amp;12&amp;KffffffСтраница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</TotalTime>
  <Application>LibreOffice/25.8.5.2$Windows_X86_64 LibreOffice_project/9c8b85f387cc00a89945a79c9e6239f32e450ac2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2023-08-25T14:01:22Z</dcterms:created>
  <dc:creator/>
  <dc:description/>
  <dc:language>ru-RU</dc:language>
  <cp:lastModifiedBy/>
  <dcterms:modified xsi:type="dcterms:W3CDTF">2026-04-04T20:07:27Z</dcterms:modified>
  <cp:revision>11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